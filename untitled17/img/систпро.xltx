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43f9009fa0f1fc0/Документы/"/>
    </mc:Choice>
  </mc:AlternateContent>
  <xr:revisionPtr revIDLastSave="0" documentId="8_{917E6630-AA6B-45B4-AE70-02B16B4ABDC6}" xr6:coauthVersionLast="45" xr6:coauthVersionMax="45" xr10:uidLastSave="{00000000-0000-0000-0000-000000000000}"/>
  <bookViews>
    <workbookView xWindow="32280" yWindow="-120" windowWidth="29040" windowHeight="15840" xr2:uid="{00000000-000D-0000-FFFF-FFFF00000000}"/>
  </bookViews>
  <sheets>
    <sheet name="Рейтинг систпро 2020" sheetId="1" r:id="rId1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1" i="1" l="1"/>
  <c r="L24" i="1"/>
  <c r="L26" i="1"/>
  <c r="L33" i="1"/>
  <c r="L35" i="1"/>
  <c r="T9" i="1" l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8" i="1"/>
</calcChain>
</file>

<file path=xl/sharedStrings.xml><?xml version="1.0" encoding="utf-8"?>
<sst xmlns="http://schemas.openxmlformats.org/spreadsheetml/2006/main" count="43" uniqueCount="43">
  <si>
    <t>Макс. балл за коллоквиум</t>
  </si>
  <si>
    <t>ФИО</t>
  </si>
  <si>
    <t>Оценка за коллоквиум</t>
  </si>
  <si>
    <t>Коллоквиум %</t>
  </si>
  <si>
    <t>Сумма (max 87)</t>
  </si>
  <si>
    <t>Антохив О.Р</t>
  </si>
  <si>
    <t>Афанасьев Евгений Владимирович</t>
  </si>
  <si>
    <t>Басов Никита</t>
  </si>
  <si>
    <t>Ваниславский Сергей Николаевич</t>
  </si>
  <si>
    <t>Васильев Александр Алексеевич</t>
  </si>
  <si>
    <t>Ганеев Рашид Рустамович</t>
  </si>
  <si>
    <t>Донская Мария Андреевна</t>
  </si>
  <si>
    <t>Дончак Ангелина Антоновна</t>
  </si>
  <si>
    <t>Жильцов Дмитрий Сергеевич</t>
  </si>
  <si>
    <t>Имбировский Александр Андреевич</t>
  </si>
  <si>
    <t>Клюканова Диана Александровна</t>
  </si>
  <si>
    <t>Коваль Андрей Александрович</t>
  </si>
  <si>
    <t>Козицкий Михаил Сергеевич</t>
  </si>
  <si>
    <t>Маингарт Владислав Александрович</t>
  </si>
  <si>
    <t>Маингарт Владислав Александрович вирт.</t>
  </si>
  <si>
    <t>Нагорнов Станислав Сергеевич</t>
  </si>
  <si>
    <t>Нагорнов Станислав Сергеевич вирт.</t>
  </si>
  <si>
    <t>Пахомова Дарья Евгеньевна</t>
  </si>
  <si>
    <t>Пахомова Дарья Евгеньевна вирт.</t>
  </si>
  <si>
    <t>Пищиков Александр Александрович</t>
  </si>
  <si>
    <t>Полина Александровна Кожухарь</t>
  </si>
  <si>
    <t>Середа Семен Викторович</t>
  </si>
  <si>
    <t>Сибен Андрей Евгеньевич</t>
  </si>
  <si>
    <t>Смирнов Максим Кириллович</t>
  </si>
  <si>
    <t>Тихонов Руслан Александрович</t>
  </si>
  <si>
    <t>Тихонов Руслан Александрович вирт.</t>
  </si>
  <si>
    <t>Уткин Данил Вадимович</t>
  </si>
  <si>
    <t>Уткин Данил Вадимович вирт.</t>
  </si>
  <si>
    <t>Христофоров Айсен</t>
  </si>
  <si>
    <t>Коллокиум</t>
  </si>
  <si>
    <t>Практика</t>
  </si>
  <si>
    <t>Тест Сортировки</t>
  </si>
  <si>
    <t>Тест 10 вопросов</t>
  </si>
  <si>
    <t>Контрлольная четверг 10 утра</t>
  </si>
  <si>
    <t>Бонусное задание</t>
  </si>
  <si>
    <t>Итого</t>
  </si>
  <si>
    <t>Посещение</t>
  </si>
  <si>
    <t>2 коллоквиум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</si>
</sst>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T37"/>
  <sheetViews>
    <sheetView tabSelected="1" workbookViewId="0">
      <selection activeCell="L14" sqref="L13:L14"/>
    </sheetView>
  </sheetViews>
  <sheetFormatPr defaultRowHeight="14.5" x14ac:dyDescent="0.35"/>
  <cols>
    <col min="14" max="14" width="11.7265625" customWidth="1"/>
  </cols>
  <sheetData>
    <row r="2" spans="1:20" x14ac:dyDescent="0.35">
      <c r="A2" t="s">
        <v>0</v>
      </c>
    </row>
    <row r="3" spans="1:20" x14ac:dyDescent="0.35">
      <c r="A3">
        <v>17</v>
      </c>
    </row>
    <row r="4" spans="1:20" x14ac:dyDescent="0.35">
      <c r="A4" t="s">
        <v>1</v>
      </c>
    </row>
    <row r="5" spans="1:20" x14ac:dyDescent="0.35">
      <c r="A5" t="s">
        <v>2</v>
      </c>
      <c r="N5">
        <v>710</v>
      </c>
      <c r="R5">
        <v>16</v>
      </c>
    </row>
    <row r="6" spans="1:20" x14ac:dyDescent="0.35">
      <c r="A6" t="s">
        <v>3</v>
      </c>
      <c r="L6">
        <v>70</v>
      </c>
      <c r="M6">
        <v>17</v>
      </c>
      <c r="N6">
        <v>4</v>
      </c>
      <c r="O6">
        <v>2</v>
      </c>
      <c r="P6">
        <v>4</v>
      </c>
      <c r="Q6">
        <v>6</v>
      </c>
      <c r="R6">
        <v>10</v>
      </c>
      <c r="S6">
        <v>15</v>
      </c>
    </row>
    <row r="7" spans="1:20" x14ac:dyDescent="0.35">
      <c r="A7" t="s">
        <v>4</v>
      </c>
      <c r="L7" t="s">
        <v>35</v>
      </c>
      <c r="M7" t="s">
        <v>34</v>
      </c>
      <c r="N7" t="s">
        <v>36</v>
      </c>
      <c r="O7" t="s">
        <v>37</v>
      </c>
      <c r="P7" t="s">
        <v>38</v>
      </c>
      <c r="Q7" t="s">
        <v>39</v>
      </c>
      <c r="R7" t="s">
        <v>41</v>
      </c>
      <c r="S7" t="s">
        <v>42</v>
      </c>
      <c r="T7" t="s">
        <v>40</v>
      </c>
    </row>
    <row r="8" spans="1:20" x14ac:dyDescent="0.35">
      <c r="A8" t="s">
        <v>5</v>
      </c>
      <c r="C8">
        <v>4.08</v>
      </c>
      <c r="D8">
        <v>3.57</v>
      </c>
      <c r="E8">
        <v>3.57</v>
      </c>
      <c r="F8">
        <v>7.14</v>
      </c>
      <c r="G8">
        <v>0</v>
      </c>
      <c r="H8">
        <v>7.14</v>
      </c>
      <c r="I8">
        <v>5.36</v>
      </c>
      <c r="J8">
        <v>16.670000000000002</v>
      </c>
      <c r="L8">
        <v>47.53</v>
      </c>
      <c r="M8">
        <v>13.6</v>
      </c>
      <c r="N8">
        <v>340</v>
      </c>
      <c r="O8">
        <v>2</v>
      </c>
      <c r="P8">
        <v>4</v>
      </c>
      <c r="Q8">
        <v>6</v>
      </c>
      <c r="R8">
        <v>16</v>
      </c>
      <c r="S8">
        <v>15</v>
      </c>
      <c r="T8">
        <f>L8+M8+N8/$N$5*$N$6+O8+P8+Q8+R8/$R$5*$R$6+S8</f>
        <v>100.04549295774649</v>
      </c>
    </row>
    <row r="9" spans="1:20" x14ac:dyDescent="0.35">
      <c r="A9" t="s">
        <v>6</v>
      </c>
      <c r="C9">
        <v>0</v>
      </c>
      <c r="D9">
        <v>3.57</v>
      </c>
      <c r="E9">
        <v>2.38</v>
      </c>
      <c r="F9">
        <v>7.14</v>
      </c>
      <c r="G9">
        <v>7.14</v>
      </c>
      <c r="H9">
        <v>5.71</v>
      </c>
      <c r="I9">
        <v>0</v>
      </c>
      <c r="J9">
        <v>6.67</v>
      </c>
      <c r="L9">
        <v>32.619999999999997</v>
      </c>
      <c r="M9">
        <v>11.9</v>
      </c>
      <c r="T9">
        <f t="shared" ref="T9:T37" si="0">L9+M9+N9/$N$5*$N$6+O9+P9+Q9+R9/$R$5*$R$6+S9</f>
        <v>44.519999999999996</v>
      </c>
    </row>
    <row r="10" spans="1:20" x14ac:dyDescent="0.35">
      <c r="A10" t="s">
        <v>7</v>
      </c>
      <c r="C10">
        <v>7.14</v>
      </c>
      <c r="D10">
        <v>7.14</v>
      </c>
      <c r="E10">
        <v>7.14</v>
      </c>
      <c r="F10">
        <v>7.14</v>
      </c>
      <c r="G10">
        <v>7.14</v>
      </c>
      <c r="H10">
        <v>7.14</v>
      </c>
      <c r="I10">
        <v>0</v>
      </c>
      <c r="J10">
        <v>13.33</v>
      </c>
      <c r="L10">
        <v>56.19</v>
      </c>
      <c r="M10">
        <v>17</v>
      </c>
      <c r="T10">
        <f t="shared" si="0"/>
        <v>73.19</v>
      </c>
    </row>
    <row r="11" spans="1:20" x14ac:dyDescent="0.35">
      <c r="A11" t="s">
        <v>8</v>
      </c>
      <c r="C11">
        <v>5.0999999999999996</v>
      </c>
      <c r="D11">
        <v>7.14</v>
      </c>
      <c r="E11">
        <v>7.14</v>
      </c>
      <c r="F11">
        <v>4.76</v>
      </c>
      <c r="G11">
        <v>7.14</v>
      </c>
      <c r="H11">
        <v>0</v>
      </c>
      <c r="I11">
        <v>0</v>
      </c>
      <c r="J11">
        <v>0</v>
      </c>
      <c r="L11">
        <v>31.29</v>
      </c>
      <c r="M11">
        <v>17</v>
      </c>
      <c r="T11">
        <f t="shared" si="0"/>
        <v>48.29</v>
      </c>
    </row>
    <row r="12" spans="1:20" x14ac:dyDescent="0.35">
      <c r="A12" t="s">
        <v>9</v>
      </c>
      <c r="C12">
        <v>4.08</v>
      </c>
      <c r="D12">
        <v>5.36</v>
      </c>
      <c r="E12">
        <v>0</v>
      </c>
      <c r="F12">
        <v>3.57</v>
      </c>
      <c r="G12">
        <v>3.57</v>
      </c>
      <c r="H12">
        <v>2.86</v>
      </c>
      <c r="I12">
        <v>0</v>
      </c>
      <c r="J12">
        <v>0</v>
      </c>
      <c r="L12">
        <v>19.440000000000001</v>
      </c>
      <c r="M12">
        <v>9.35</v>
      </c>
      <c r="T12">
        <f t="shared" si="0"/>
        <v>28.79</v>
      </c>
    </row>
    <row r="13" spans="1:20" x14ac:dyDescent="0.35">
      <c r="A13" t="s">
        <v>10</v>
      </c>
      <c r="C13">
        <v>3.06</v>
      </c>
      <c r="D13">
        <v>7.14</v>
      </c>
      <c r="E13">
        <v>7.14</v>
      </c>
      <c r="F13">
        <v>7.14</v>
      </c>
      <c r="G13">
        <v>0</v>
      </c>
      <c r="H13">
        <v>0</v>
      </c>
      <c r="I13">
        <v>0</v>
      </c>
      <c r="J13">
        <v>3.33</v>
      </c>
      <c r="L13">
        <v>27.82</v>
      </c>
      <c r="M13">
        <v>15.3</v>
      </c>
      <c r="T13">
        <f t="shared" si="0"/>
        <v>43.120000000000005</v>
      </c>
    </row>
    <row r="14" spans="1:20" x14ac:dyDescent="0.35">
      <c r="A14" t="s">
        <v>11</v>
      </c>
      <c r="C14">
        <v>7.14</v>
      </c>
      <c r="D14">
        <v>7.14</v>
      </c>
      <c r="E14">
        <v>7.14</v>
      </c>
      <c r="F14">
        <v>4.76</v>
      </c>
      <c r="G14">
        <v>7.14</v>
      </c>
      <c r="H14">
        <v>5.71</v>
      </c>
      <c r="I14">
        <v>7.14</v>
      </c>
      <c r="J14">
        <v>0</v>
      </c>
      <c r="L14">
        <v>46.19</v>
      </c>
      <c r="M14">
        <v>13.6</v>
      </c>
      <c r="T14">
        <f t="shared" si="0"/>
        <v>59.79</v>
      </c>
    </row>
    <row r="15" spans="1:20" x14ac:dyDescent="0.35">
      <c r="A15" t="s">
        <v>12</v>
      </c>
      <c r="C15">
        <v>7.14</v>
      </c>
      <c r="D15">
        <v>7.14</v>
      </c>
      <c r="E15">
        <v>7.14</v>
      </c>
      <c r="F15">
        <v>7.14</v>
      </c>
      <c r="G15">
        <v>7.14</v>
      </c>
      <c r="H15">
        <v>7.14</v>
      </c>
      <c r="I15">
        <v>3.57</v>
      </c>
      <c r="J15">
        <v>20</v>
      </c>
      <c r="L15">
        <v>66.430000000000007</v>
      </c>
      <c r="M15">
        <v>17</v>
      </c>
      <c r="T15">
        <f t="shared" si="0"/>
        <v>83.43</v>
      </c>
    </row>
    <row r="16" spans="1:20" x14ac:dyDescent="0.35">
      <c r="A16" t="s">
        <v>13</v>
      </c>
      <c r="C16">
        <v>6.12</v>
      </c>
      <c r="D16">
        <v>7.14</v>
      </c>
      <c r="E16">
        <v>7.14</v>
      </c>
      <c r="F16">
        <v>7.14</v>
      </c>
      <c r="G16">
        <v>7.14</v>
      </c>
      <c r="H16">
        <v>7.14</v>
      </c>
      <c r="I16">
        <v>5.36</v>
      </c>
      <c r="J16">
        <v>6.67</v>
      </c>
      <c r="L16">
        <v>53.86</v>
      </c>
      <c r="M16">
        <v>15.3</v>
      </c>
      <c r="T16">
        <f t="shared" si="0"/>
        <v>69.16</v>
      </c>
    </row>
    <row r="17" spans="1:20" x14ac:dyDescent="0.35">
      <c r="A17" t="s">
        <v>14</v>
      </c>
      <c r="C17">
        <v>4.08</v>
      </c>
      <c r="D17">
        <v>3.57</v>
      </c>
      <c r="E17">
        <v>4.76</v>
      </c>
      <c r="F17">
        <v>2.38</v>
      </c>
      <c r="G17">
        <v>0</v>
      </c>
      <c r="H17">
        <v>0</v>
      </c>
      <c r="I17">
        <v>0</v>
      </c>
      <c r="J17">
        <v>0</v>
      </c>
      <c r="L17">
        <v>14.8</v>
      </c>
      <c r="M17">
        <v>11.9</v>
      </c>
      <c r="T17">
        <f t="shared" si="0"/>
        <v>26.700000000000003</v>
      </c>
    </row>
    <row r="18" spans="1:20" x14ac:dyDescent="0.35">
      <c r="A18" t="s">
        <v>15</v>
      </c>
      <c r="C18">
        <v>7.14</v>
      </c>
      <c r="D18">
        <v>7.14</v>
      </c>
      <c r="E18">
        <v>7.14</v>
      </c>
      <c r="F18">
        <v>7.14</v>
      </c>
      <c r="G18">
        <v>7.14</v>
      </c>
      <c r="H18">
        <v>5.71</v>
      </c>
      <c r="I18">
        <v>7.14</v>
      </c>
      <c r="J18">
        <v>13.33</v>
      </c>
      <c r="L18">
        <v>61.9</v>
      </c>
      <c r="M18">
        <v>12.75</v>
      </c>
      <c r="N18">
        <v>486</v>
      </c>
      <c r="Q18">
        <v>1</v>
      </c>
      <c r="R18">
        <v>16</v>
      </c>
      <c r="T18">
        <f t="shared" si="0"/>
        <v>88.388028169014092</v>
      </c>
    </row>
    <row r="19" spans="1:20" x14ac:dyDescent="0.35">
      <c r="A19" t="s">
        <v>16</v>
      </c>
      <c r="C19">
        <v>6.12</v>
      </c>
      <c r="D19">
        <v>7.14</v>
      </c>
      <c r="E19">
        <v>5.95</v>
      </c>
      <c r="F19">
        <v>5.95</v>
      </c>
      <c r="G19">
        <v>0</v>
      </c>
      <c r="H19">
        <v>7.14</v>
      </c>
      <c r="I19">
        <v>0</v>
      </c>
      <c r="J19">
        <v>3.33</v>
      </c>
      <c r="L19">
        <v>35.65</v>
      </c>
      <c r="M19">
        <v>17</v>
      </c>
      <c r="T19">
        <f t="shared" si="0"/>
        <v>52.65</v>
      </c>
    </row>
    <row r="20" spans="1:20" x14ac:dyDescent="0.35">
      <c r="A20" t="s">
        <v>17</v>
      </c>
      <c r="C20">
        <v>7.14</v>
      </c>
      <c r="D20">
        <v>7.14</v>
      </c>
      <c r="E20">
        <v>7.14</v>
      </c>
      <c r="F20">
        <v>4.76</v>
      </c>
      <c r="G20">
        <v>7.14</v>
      </c>
      <c r="H20">
        <v>7.14</v>
      </c>
      <c r="I20">
        <v>0</v>
      </c>
      <c r="J20">
        <v>0</v>
      </c>
      <c r="L20">
        <v>40.479999999999997</v>
      </c>
      <c r="M20">
        <v>10.199999999999999</v>
      </c>
      <c r="T20">
        <f t="shared" si="0"/>
        <v>50.679999999999993</v>
      </c>
    </row>
    <row r="21" spans="1:20" x14ac:dyDescent="0.35">
      <c r="A21" t="s">
        <v>18</v>
      </c>
      <c r="C21">
        <v>3.06</v>
      </c>
      <c r="D21">
        <v>7.14</v>
      </c>
      <c r="E21">
        <v>0</v>
      </c>
      <c r="F21">
        <v>0</v>
      </c>
      <c r="G21">
        <v>3.57</v>
      </c>
      <c r="H21">
        <v>2.86</v>
      </c>
      <c r="I21">
        <v>0</v>
      </c>
      <c r="J21">
        <v>0</v>
      </c>
      <c r="L21">
        <f>16.63+L22</f>
        <v>27.34</v>
      </c>
      <c r="M21">
        <v>10.199999999999999</v>
      </c>
      <c r="T21">
        <f t="shared" si="0"/>
        <v>37.54</v>
      </c>
    </row>
    <row r="22" spans="1:20" x14ac:dyDescent="0.35">
      <c r="A22" t="s">
        <v>19</v>
      </c>
      <c r="C22">
        <v>0</v>
      </c>
      <c r="D22">
        <v>0</v>
      </c>
      <c r="E22">
        <v>4.76</v>
      </c>
      <c r="F22">
        <v>5.95</v>
      </c>
      <c r="G22">
        <v>0</v>
      </c>
      <c r="H22">
        <v>0</v>
      </c>
      <c r="I22">
        <v>0</v>
      </c>
      <c r="J22">
        <v>0</v>
      </c>
      <c r="L22">
        <v>10.71</v>
      </c>
      <c r="M22">
        <v>0</v>
      </c>
      <c r="T22">
        <f t="shared" si="0"/>
        <v>10.71</v>
      </c>
    </row>
    <row r="23" spans="1:20" x14ac:dyDescent="0.35">
      <c r="T23">
        <f t="shared" si="0"/>
        <v>0</v>
      </c>
    </row>
    <row r="24" spans="1:20" x14ac:dyDescent="0.35">
      <c r="A24" t="s">
        <v>20</v>
      </c>
      <c r="C24">
        <v>3.06</v>
      </c>
      <c r="D24">
        <v>7.14</v>
      </c>
      <c r="E24">
        <v>3.57</v>
      </c>
      <c r="F24">
        <v>0</v>
      </c>
      <c r="G24">
        <v>3.57</v>
      </c>
      <c r="H24">
        <v>0</v>
      </c>
      <c r="I24">
        <v>0</v>
      </c>
      <c r="J24">
        <v>0</v>
      </c>
      <c r="L24">
        <f>17.35+L25</f>
        <v>23.3</v>
      </c>
      <c r="M24">
        <v>11.9</v>
      </c>
      <c r="T24">
        <f t="shared" si="0"/>
        <v>35.200000000000003</v>
      </c>
    </row>
    <row r="25" spans="1:20" x14ac:dyDescent="0.35">
      <c r="A25" t="s">
        <v>21</v>
      </c>
      <c r="C25">
        <v>0</v>
      </c>
      <c r="D25">
        <v>0</v>
      </c>
      <c r="E25">
        <v>0</v>
      </c>
      <c r="F25">
        <v>5.95</v>
      </c>
      <c r="G25">
        <v>0</v>
      </c>
      <c r="H25">
        <v>0</v>
      </c>
      <c r="I25">
        <v>0</v>
      </c>
      <c r="J25">
        <v>0</v>
      </c>
      <c r="L25">
        <v>5.95</v>
      </c>
      <c r="M25">
        <v>0</v>
      </c>
      <c r="T25">
        <f t="shared" si="0"/>
        <v>5.95</v>
      </c>
    </row>
    <row r="26" spans="1:20" x14ac:dyDescent="0.35">
      <c r="A26" t="s">
        <v>22</v>
      </c>
      <c r="C26">
        <v>1.02</v>
      </c>
      <c r="D26">
        <v>5.36</v>
      </c>
      <c r="E26">
        <v>0</v>
      </c>
      <c r="F26">
        <v>5.95</v>
      </c>
      <c r="G26">
        <v>0</v>
      </c>
      <c r="H26">
        <v>4.29</v>
      </c>
      <c r="I26">
        <v>0</v>
      </c>
      <c r="J26">
        <v>0</v>
      </c>
      <c r="L26">
        <f>16.62+L27</f>
        <v>19</v>
      </c>
      <c r="M26">
        <v>13.6</v>
      </c>
      <c r="T26">
        <f t="shared" si="0"/>
        <v>32.6</v>
      </c>
    </row>
    <row r="27" spans="1:20" x14ac:dyDescent="0.35">
      <c r="A27" t="s">
        <v>23</v>
      </c>
      <c r="C27">
        <v>0</v>
      </c>
      <c r="D27">
        <v>0</v>
      </c>
      <c r="E27">
        <v>2.38</v>
      </c>
      <c r="F27">
        <v>0</v>
      </c>
      <c r="G27">
        <v>0</v>
      </c>
      <c r="H27">
        <v>0</v>
      </c>
      <c r="I27">
        <v>0</v>
      </c>
      <c r="J27">
        <v>0</v>
      </c>
      <c r="L27">
        <v>2.38</v>
      </c>
      <c r="M27">
        <v>0</v>
      </c>
      <c r="T27">
        <f t="shared" si="0"/>
        <v>2.38</v>
      </c>
    </row>
    <row r="28" spans="1:20" x14ac:dyDescent="0.35">
      <c r="A28" t="s">
        <v>24</v>
      </c>
      <c r="C28">
        <v>6.12</v>
      </c>
      <c r="D28">
        <v>0</v>
      </c>
      <c r="E28">
        <v>4.76</v>
      </c>
      <c r="F28">
        <v>5.95</v>
      </c>
      <c r="G28">
        <v>3.57</v>
      </c>
      <c r="H28">
        <v>4.29</v>
      </c>
      <c r="I28">
        <v>0</v>
      </c>
      <c r="J28">
        <v>3.33</v>
      </c>
      <c r="L28">
        <v>28.03</v>
      </c>
      <c r="M28">
        <v>13.6</v>
      </c>
      <c r="T28">
        <f t="shared" si="0"/>
        <v>41.63</v>
      </c>
    </row>
    <row r="29" spans="1:20" x14ac:dyDescent="0.35">
      <c r="A29" t="s">
        <v>25</v>
      </c>
      <c r="C29">
        <v>0</v>
      </c>
      <c r="D29">
        <v>1.79</v>
      </c>
      <c r="E29">
        <v>7.14</v>
      </c>
      <c r="F29">
        <v>5.95</v>
      </c>
      <c r="G29">
        <v>0</v>
      </c>
      <c r="H29">
        <v>7.14</v>
      </c>
      <c r="I29">
        <v>7.14</v>
      </c>
      <c r="J29">
        <v>3.33</v>
      </c>
      <c r="L29">
        <v>32.5</v>
      </c>
      <c r="M29">
        <v>10.199999999999999</v>
      </c>
      <c r="T29">
        <f t="shared" si="0"/>
        <v>42.7</v>
      </c>
    </row>
    <row r="30" spans="1:20" x14ac:dyDescent="0.35">
      <c r="A30" t="s">
        <v>26</v>
      </c>
      <c r="C30">
        <v>3.06</v>
      </c>
      <c r="D30">
        <v>7.14</v>
      </c>
      <c r="E30">
        <v>7.14</v>
      </c>
      <c r="F30">
        <v>5.95</v>
      </c>
      <c r="G30">
        <v>7.14</v>
      </c>
      <c r="H30">
        <v>2.86</v>
      </c>
      <c r="I30">
        <v>0</v>
      </c>
      <c r="J30">
        <v>0</v>
      </c>
      <c r="K30">
        <v>6.67</v>
      </c>
      <c r="L30">
        <v>39.97</v>
      </c>
      <c r="M30">
        <v>10.199999999999999</v>
      </c>
      <c r="N30">
        <v>655</v>
      </c>
      <c r="O30">
        <v>2</v>
      </c>
      <c r="Q30">
        <v>5</v>
      </c>
      <c r="R30">
        <v>16</v>
      </c>
      <c r="T30">
        <f t="shared" si="0"/>
        <v>70.860140845070418</v>
      </c>
    </row>
    <row r="31" spans="1:20" x14ac:dyDescent="0.35">
      <c r="A31" t="s">
        <v>27</v>
      </c>
      <c r="C31">
        <v>2.04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L31">
        <v>2.04</v>
      </c>
      <c r="M31">
        <v>13.6</v>
      </c>
      <c r="T31">
        <f t="shared" si="0"/>
        <v>15.64</v>
      </c>
    </row>
    <row r="32" spans="1:20" x14ac:dyDescent="0.35">
      <c r="A32" t="s">
        <v>28</v>
      </c>
      <c r="C32">
        <v>2.04</v>
      </c>
      <c r="D32">
        <v>7.14</v>
      </c>
      <c r="E32">
        <v>2.38</v>
      </c>
      <c r="F32">
        <v>0</v>
      </c>
      <c r="G32">
        <v>0</v>
      </c>
      <c r="H32">
        <v>0</v>
      </c>
      <c r="I32">
        <v>0</v>
      </c>
      <c r="J32">
        <v>0</v>
      </c>
      <c r="L32">
        <v>11.56</v>
      </c>
      <c r="M32">
        <v>8.5</v>
      </c>
      <c r="T32">
        <f t="shared" si="0"/>
        <v>20.060000000000002</v>
      </c>
    </row>
    <row r="33" spans="1:20" x14ac:dyDescent="0.35">
      <c r="A33" t="s">
        <v>29</v>
      </c>
      <c r="C33">
        <v>0</v>
      </c>
      <c r="D33">
        <v>0</v>
      </c>
      <c r="E33">
        <v>0</v>
      </c>
      <c r="F33">
        <v>7.14</v>
      </c>
      <c r="G33">
        <v>7.14</v>
      </c>
      <c r="H33">
        <v>4.29</v>
      </c>
      <c r="I33">
        <v>0</v>
      </c>
      <c r="J33">
        <v>6.67</v>
      </c>
      <c r="L33">
        <f>25.24+L34</f>
        <v>43.269999999999996</v>
      </c>
      <c r="M33">
        <v>13.6</v>
      </c>
      <c r="T33">
        <f t="shared" si="0"/>
        <v>56.87</v>
      </c>
    </row>
    <row r="34" spans="1:20" x14ac:dyDescent="0.35">
      <c r="A34" t="s">
        <v>30</v>
      </c>
      <c r="C34">
        <v>6.12</v>
      </c>
      <c r="D34">
        <v>7.14</v>
      </c>
      <c r="E34">
        <v>4.76</v>
      </c>
      <c r="F34">
        <v>0</v>
      </c>
      <c r="G34">
        <v>0</v>
      </c>
      <c r="H34">
        <v>0</v>
      </c>
      <c r="I34">
        <v>0</v>
      </c>
      <c r="J34">
        <v>0</v>
      </c>
      <c r="L34">
        <v>18.03</v>
      </c>
      <c r="M34">
        <v>0</v>
      </c>
      <c r="T34">
        <f t="shared" si="0"/>
        <v>18.03</v>
      </c>
    </row>
    <row r="35" spans="1:20" x14ac:dyDescent="0.35">
      <c r="A35" t="s">
        <v>31</v>
      </c>
      <c r="C35">
        <v>7.14</v>
      </c>
      <c r="D35">
        <v>7.14</v>
      </c>
      <c r="E35">
        <v>7.14</v>
      </c>
      <c r="F35">
        <v>7.14</v>
      </c>
      <c r="G35">
        <v>3.57</v>
      </c>
      <c r="H35">
        <v>0</v>
      </c>
      <c r="I35">
        <v>0</v>
      </c>
      <c r="J35">
        <v>3.33</v>
      </c>
      <c r="L35">
        <f>35.48+L36</f>
        <v>38.809999999999995</v>
      </c>
      <c r="M35">
        <v>15.3</v>
      </c>
      <c r="T35">
        <f t="shared" si="0"/>
        <v>54.11</v>
      </c>
    </row>
    <row r="36" spans="1:20" x14ac:dyDescent="0.35">
      <c r="A36" t="s">
        <v>32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3.33</v>
      </c>
      <c r="L36">
        <v>3.33</v>
      </c>
      <c r="M36">
        <v>0</v>
      </c>
      <c r="T36">
        <f t="shared" si="0"/>
        <v>3.33</v>
      </c>
    </row>
    <row r="37" spans="1:20" x14ac:dyDescent="0.35">
      <c r="A37" t="s">
        <v>33</v>
      </c>
      <c r="C37">
        <v>2.04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L37">
        <v>2.04</v>
      </c>
      <c r="M37">
        <v>0</v>
      </c>
      <c r="T37">
        <f t="shared" si="0"/>
        <v>2.04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CCFAC07902159458531927D9D57CBD4" ma:contentTypeVersion="5" ma:contentTypeDescription="Создание документа." ma:contentTypeScope="" ma:versionID="c25abb4385b2359ac60e368f43d81458">
  <xsd:schema xmlns:xsd="http://www.w3.org/2001/XMLSchema" xmlns:xs="http://www.w3.org/2001/XMLSchema" xmlns:p="http://schemas.microsoft.com/office/2006/metadata/properties" xmlns:ns2="8efed90d-f6f2-45fb-99a6-2b8bf4e93b1f" targetNamespace="http://schemas.microsoft.com/office/2006/metadata/properties" ma:root="true" ma:fieldsID="b2e8ba56553c75d28bfeb567d5e1e487" ns2:_="">
    <xsd:import namespace="8efed90d-f6f2-45fb-99a6-2b8bf4e93b1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fed90d-f6f2-45fb-99a6-2b8bf4e93b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B695572-A719-4917-BE32-822FA7344AB1}"/>
</file>

<file path=customXml/itemProps2.xml><?xml version="1.0" encoding="utf-8"?>
<ds:datastoreItem xmlns:ds="http://schemas.openxmlformats.org/officeDocument/2006/customXml" ds:itemID="{DEF3C73E-EE82-40C7-A6DD-DF56C1E33DE8}"/>
</file>

<file path=customXml/itemProps3.xml><?xml version="1.0" encoding="utf-8"?>
<ds:datastoreItem xmlns:ds="http://schemas.openxmlformats.org/officeDocument/2006/customXml" ds:itemID="{C8C9CEB2-4EF3-4A89-B66E-73088C74BB2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Рейтинг систпро 2020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Сущенко</dc:creator>
  <cp:lastModifiedBy>Андрей Сущенко</cp:lastModifiedBy>
  <dcterms:created xsi:type="dcterms:W3CDTF">2020-06-30T07:12:22Z</dcterms:created>
  <dcterms:modified xsi:type="dcterms:W3CDTF">2020-06-30T07:15:49Z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0x010100DCCFAC07902159458531927D9D57CBD4</vt:lpwstr>
  </property>
</Properties>
</file>